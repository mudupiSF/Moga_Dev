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<sst xmlns="http://schemas.openxmlformats.org/spreadsheetml/2006/main" count="78" uniqueCount="74">
  <si>
    <t>FINANCIAL PERFORMANCE</t>
  </si>
  <si>
    <t>FY2024</t>
  </si>
  <si>
    <t>FY2023</t>
  </si>
  <si>
    <t>FY2022</t>
  </si>
  <si>
    <t>FY2021</t>
  </si>
  <si>
    <t>FY2020</t>
  </si>
  <si>
    <t>Profit and Loss Account</t>
  </si>
  <si>
    <t>Audited</t>
  </si>
  <si>
    <t>Income</t>
  </si>
  <si>
    <t>Revenue from operations</t>
  </si>
  <si>
    <t>Other Income</t>
  </si>
  <si>
    <t>Total Income</t>
  </si>
  <si>
    <t>Expenses</t>
  </si>
  <si>
    <t>Cost of goods</t>
  </si>
  <si>
    <t>Direct Expenses</t>
  </si>
  <si>
    <t>Employee costs</t>
  </si>
  <si>
    <t>Administration Expenses</t>
  </si>
  <si>
    <t>Selling and Distribution Expenses</t>
  </si>
  <si>
    <t>Financial Expenses</t>
  </si>
  <si>
    <t>Depreciation</t>
  </si>
  <si>
    <t>Total Expenses</t>
  </si>
  <si>
    <t>Profit</t>
  </si>
  <si>
    <t>Profit before tax</t>
  </si>
  <si>
    <t>Provision for tax</t>
  </si>
  <si>
    <t>Profit after tax</t>
  </si>
  <si>
    <t>Preference dividend (including tax)</t>
  </si>
  <si>
    <t>Profit available for equity shareholders</t>
  </si>
  <si>
    <t>Cash Profit</t>
  </si>
  <si>
    <t>Balance Sheet</t>
  </si>
  <si>
    <t>Liabilities</t>
  </si>
  <si>
    <t>Equity Capital</t>
  </si>
  <si>
    <t>Share Application Money</t>
  </si>
  <si>
    <t>Reserves &amp; Surplus</t>
  </si>
  <si>
    <t>Secured loan</t>
  </si>
  <si>
    <t>Secured Loans OD/CC/Working Capital</t>
  </si>
  <si>
    <t>Unsecured loans</t>
  </si>
  <si>
    <t>Deffered tax liability</t>
  </si>
  <si>
    <t>Other long term liabilities</t>
  </si>
  <si>
    <t>Current Liabilities and Provision</t>
  </si>
  <si>
    <t>Sundry creditors</t>
  </si>
  <si>
    <t>Other current liabilities and provisions</t>
  </si>
  <si>
    <t>Liabilities Total</t>
  </si>
  <si>
    <t>Assets</t>
  </si>
  <si>
    <t>Fixed Assets</t>
  </si>
  <si>
    <t>Capital WIP</t>
  </si>
  <si>
    <t>Investments</t>
  </si>
  <si>
    <t>Long term loans and advances</t>
  </si>
  <si>
    <t>other non current assets</t>
  </si>
  <si>
    <t>Current assets</t>
  </si>
  <si>
    <t>Sundry debtors</t>
  </si>
  <si>
    <t>Closing stock</t>
  </si>
  <si>
    <t>Cash and Bank Balances</t>
  </si>
  <si>
    <t>Other current assets</t>
  </si>
  <si>
    <t>Assets Total</t>
  </si>
  <si>
    <t>Ratios</t>
  </si>
  <si>
    <t>Return on Capital Employed</t>
  </si>
  <si>
    <t>Return On Share Holders Fund</t>
  </si>
  <si>
    <t>PAT / Income (%)</t>
  </si>
  <si>
    <t>PAT / Assets employed (%)</t>
  </si>
  <si>
    <t>Face Value of Shares</t>
  </si>
  <si>
    <t>EPS</t>
  </si>
  <si>
    <t>Increase in TO</t>
  </si>
  <si>
    <t>Increase in Cash Profit</t>
  </si>
  <si>
    <t>Interest Coverage</t>
  </si>
  <si>
    <t>Debt Ratio</t>
  </si>
  <si>
    <t>Debt Equity</t>
  </si>
  <si>
    <t>Current Ratio</t>
  </si>
  <si>
    <t>Quick Asset Ratio</t>
  </si>
  <si>
    <t>Cash Ratio</t>
  </si>
  <si>
    <t>TOL/TNW</t>
  </si>
  <si>
    <t>DSCR</t>
  </si>
  <si>
    <t>Debtors / TO</t>
  </si>
  <si>
    <t>Debtors / TO Ratio</t>
  </si>
  <si>
    <t>Debtor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</si>
</sst>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_(* #,##0.00_);_(* \(#,##0.00\);_(* &quot;-&quot;??_);_(@_)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9.0"/>
      <color theme="1"/>
      <name val="Verdana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164" xfId="0" applyAlignment="1" applyBorder="1" applyFont="1" applyNumberFormat="1">
      <alignment horizontal="left" shrinkToFit="0" vertical="center" wrapText="0"/>
    </xf>
    <xf borderId="3" fillId="0" fontId="1" numFmtId="164" xfId="0" applyAlignment="1" applyBorder="1" applyFont="1" applyNumberFormat="1">
      <alignment horizontal="left" shrinkToFit="0" vertical="center" wrapText="0"/>
    </xf>
    <xf borderId="0" fillId="0" fontId="2" numFmtId="0" xfId="0" applyAlignment="1" applyFont="1">
      <alignment readingOrder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3" numFmtId="165" xfId="0" applyAlignment="1" applyBorder="1" applyFont="1" applyNumberFormat="1">
      <alignment vertical="bottom"/>
    </xf>
    <xf borderId="7" fillId="0" fontId="3" numFmtId="165" xfId="0" applyAlignment="1" applyBorder="1" applyFont="1" applyNumberFormat="1">
      <alignment vertical="bottom"/>
    </xf>
    <xf borderId="6" fillId="0" fontId="4" numFmtId="165" xfId="0" applyAlignment="1" applyBorder="1" applyFont="1" applyNumberFormat="1">
      <alignment horizontal="right" vertical="bottom"/>
    </xf>
    <xf borderId="7" fillId="0" fontId="4" numFmtId="165" xfId="0" applyAlignment="1" applyBorder="1" applyFont="1" applyNumberFormat="1">
      <alignment horizontal="right" vertical="bottom"/>
    </xf>
    <xf borderId="6" fillId="0" fontId="3" numFmtId="2" xfId="0" applyAlignment="1" applyBorder="1" applyFont="1" applyNumberFormat="1">
      <alignment vertical="bottom"/>
    </xf>
    <xf borderId="7" fillId="0" fontId="3" numFmtId="2" xfId="0" applyAlignment="1" applyBorder="1" applyFont="1" applyNumberFormat="1">
      <alignment vertical="bottom"/>
    </xf>
    <xf borderId="6" fillId="0" fontId="3" numFmtId="4" xfId="0" applyAlignment="1" applyBorder="1" applyFont="1" applyNumberFormat="1">
      <alignment vertical="bottom"/>
    </xf>
    <xf borderId="7" fillId="0" fontId="3" numFmtId="4" xfId="0" applyAlignment="1" applyBorder="1" applyFont="1" applyNumberFormat="1">
      <alignment vertical="bottom"/>
    </xf>
    <xf borderId="6" fillId="2" fontId="4" numFmtId="165" xfId="0" applyAlignment="1" applyBorder="1" applyFill="1" applyFont="1" applyNumberFormat="1">
      <alignment horizontal="right" vertical="bottom"/>
    </xf>
    <xf borderId="8" fillId="2" fontId="4" numFmtId="165" xfId="0" applyAlignment="1" applyBorder="1" applyFont="1" applyNumberFormat="1">
      <alignment horizontal="right" vertical="bottom"/>
    </xf>
    <xf borderId="6" fillId="0" fontId="5" numFmtId="2" xfId="0" applyAlignment="1" applyBorder="1" applyFont="1" applyNumberFormat="1">
      <alignment horizontal="center" vertical="bottom"/>
    </xf>
    <xf borderId="7" fillId="0" fontId="5" numFmtId="2" xfId="0" applyAlignment="1" applyBorder="1" applyFont="1" applyNumberFormat="1">
      <alignment horizontal="center" vertical="bottom"/>
    </xf>
    <xf borderId="6" fillId="0" fontId="5" numFmtId="9" xfId="0" applyAlignment="1" applyBorder="1" applyFont="1" applyNumberFormat="1">
      <alignment horizontal="right" vertical="bottom"/>
    </xf>
    <xf borderId="7" fillId="0" fontId="5" numFmtId="9" xfId="0" applyAlignment="1" applyBorder="1" applyFont="1" applyNumberFormat="1">
      <alignment horizontal="right" vertical="bottom"/>
    </xf>
    <xf borderId="6" fillId="0" fontId="5" numFmtId="2" xfId="0" applyAlignment="1" applyBorder="1" applyFont="1" applyNumberFormat="1">
      <alignment horizontal="right" vertical="bottom"/>
    </xf>
    <xf borderId="7" fillId="0" fontId="5" numFmtId="2" xfId="0" applyAlignment="1" applyBorder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69" displayName="Table_1" name="Table_1" id="1">
  <tableColumns count="6">
    <tableColumn name="FINANCIAL PERFORMANCE" id="1"/>
    <tableColumn name="FY2024" id="2"/>
    <tableColumn name="FY2023" id="3"/>
    <tableColumn name="FY2022" id="4"/>
    <tableColumn name="FY2021" id="5"/>
    <tableColumn name="FY2020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25"/>
    <col customWidth="1" min="2" max="6" width="13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.75" customHeight="1">
      <c r="A2" s="4" t="s">
        <v>6</v>
      </c>
      <c r="B2" s="5" t="s">
        <v>7</v>
      </c>
      <c r="C2" s="5" t="s">
        <v>7</v>
      </c>
      <c r="D2" s="5" t="s">
        <v>7</v>
      </c>
      <c r="E2" s="5" t="s">
        <v>7</v>
      </c>
      <c r="F2" s="6" t="s">
        <v>7</v>
      </c>
    </row>
    <row r="3" ht="15.75" customHeight="1">
      <c r="A3" s="4" t="s">
        <v>8</v>
      </c>
      <c r="B3" s="7"/>
      <c r="C3" s="7"/>
      <c r="D3" s="7"/>
      <c r="E3" s="7"/>
      <c r="F3" s="8"/>
    </row>
    <row r="4" ht="15.75" customHeight="1">
      <c r="A4" s="4" t="s">
        <v>9</v>
      </c>
      <c r="B4" s="9"/>
      <c r="C4" s="9"/>
      <c r="D4" s="9"/>
      <c r="E4" s="9"/>
      <c r="F4" s="10"/>
    </row>
    <row r="5" ht="15.75" customHeight="1">
      <c r="A5" s="4" t="s">
        <v>10</v>
      </c>
      <c r="B5" s="9"/>
      <c r="C5" s="9"/>
      <c r="D5" s="9"/>
      <c r="E5" s="9"/>
      <c r="F5" s="10"/>
    </row>
    <row r="6" ht="15.75" customHeight="1">
      <c r="A6" s="4" t="s">
        <v>11</v>
      </c>
      <c r="B6" s="11">
        <f t="shared" ref="B6:F6" si="1">SUM(B4:B5)</f>
        <v>0</v>
      </c>
      <c r="C6" s="11">
        <f t="shared" si="1"/>
        <v>0</v>
      </c>
      <c r="D6" s="11">
        <f t="shared" si="1"/>
        <v>0</v>
      </c>
      <c r="E6" s="11">
        <f t="shared" si="1"/>
        <v>0</v>
      </c>
      <c r="F6" s="12">
        <f t="shared" si="1"/>
        <v>0</v>
      </c>
    </row>
    <row r="7" ht="15.75" customHeight="1">
      <c r="A7" s="4" t="s">
        <v>12</v>
      </c>
      <c r="B7" s="13"/>
      <c r="C7" s="13"/>
      <c r="D7" s="13"/>
      <c r="E7" s="13"/>
      <c r="F7" s="14"/>
    </row>
    <row r="8" ht="15.75" customHeight="1">
      <c r="A8" s="4" t="s">
        <v>13</v>
      </c>
      <c r="B8" s="9"/>
      <c r="C8" s="9"/>
      <c r="D8" s="15"/>
      <c r="E8" s="15"/>
      <c r="F8" s="16"/>
    </row>
    <row r="9" ht="15.75" customHeight="1">
      <c r="A9" s="4" t="s">
        <v>14</v>
      </c>
      <c r="B9" s="9"/>
      <c r="C9" s="9"/>
      <c r="D9" s="9"/>
      <c r="E9" s="9"/>
      <c r="F9" s="10"/>
    </row>
    <row r="10" ht="15.75" customHeight="1">
      <c r="A10" s="4" t="s">
        <v>15</v>
      </c>
      <c r="B10" s="9"/>
      <c r="C10" s="9"/>
      <c r="D10" s="9"/>
      <c r="E10" s="9"/>
      <c r="F10" s="10"/>
    </row>
    <row r="11" ht="15.75" customHeight="1">
      <c r="A11" s="4" t="s">
        <v>16</v>
      </c>
      <c r="B11" s="9"/>
      <c r="C11" s="9"/>
      <c r="D11" s="9"/>
      <c r="E11" s="9"/>
      <c r="F11" s="10"/>
    </row>
    <row r="12" ht="15.75" customHeight="1">
      <c r="A12" s="4" t="s">
        <v>17</v>
      </c>
      <c r="B12" s="9"/>
      <c r="C12" s="9"/>
      <c r="D12" s="9"/>
      <c r="E12" s="9"/>
      <c r="F12" s="10"/>
    </row>
    <row r="13" ht="15.75" customHeight="1">
      <c r="A13" s="4" t="s">
        <v>18</v>
      </c>
      <c r="B13" s="9"/>
      <c r="C13" s="9"/>
      <c r="D13" s="9"/>
      <c r="E13" s="9"/>
      <c r="F13" s="10"/>
    </row>
    <row r="14" ht="15.75" customHeight="1">
      <c r="A14" s="4" t="s">
        <v>19</v>
      </c>
      <c r="B14" s="9"/>
      <c r="C14" s="9"/>
      <c r="D14" s="9"/>
      <c r="E14" s="9"/>
      <c r="F14" s="10"/>
    </row>
    <row r="15" ht="15.75" customHeight="1">
      <c r="A15" s="4" t="s">
        <v>20</v>
      </c>
      <c r="B15" s="11">
        <f t="shared" ref="B15:F15" si="2">SUM(B8:B14)</f>
        <v>0</v>
      </c>
      <c r="C15" s="11">
        <f t="shared" si="2"/>
        <v>0</v>
      </c>
      <c r="D15" s="11">
        <f t="shared" si="2"/>
        <v>0</v>
      </c>
      <c r="E15" s="11">
        <f t="shared" si="2"/>
        <v>0</v>
      </c>
      <c r="F15" s="12">
        <f t="shared" si="2"/>
        <v>0</v>
      </c>
    </row>
    <row r="16" ht="15.75" customHeight="1">
      <c r="A16" s="4" t="s">
        <v>21</v>
      </c>
      <c r="B16" s="13"/>
      <c r="C16" s="13"/>
      <c r="D16" s="13"/>
      <c r="E16" s="13"/>
      <c r="F16" s="14"/>
    </row>
    <row r="17" ht="15.75" customHeight="1">
      <c r="A17" s="4" t="s">
        <v>22</v>
      </c>
      <c r="B17" s="17">
        <f t="shared" ref="B17:F17" si="3">B6-B15</f>
        <v>0</v>
      </c>
      <c r="C17" s="17">
        <f t="shared" si="3"/>
        <v>0</v>
      </c>
      <c r="D17" s="17">
        <f t="shared" si="3"/>
        <v>0</v>
      </c>
      <c r="E17" s="17">
        <f t="shared" si="3"/>
        <v>0</v>
      </c>
      <c r="F17" s="18">
        <f t="shared" si="3"/>
        <v>0</v>
      </c>
    </row>
    <row r="18" ht="15.75" customHeight="1">
      <c r="A18" s="4" t="s">
        <v>23</v>
      </c>
      <c r="B18" s="9"/>
      <c r="C18" s="9"/>
      <c r="D18" s="9"/>
      <c r="E18" s="9"/>
      <c r="F18" s="10"/>
    </row>
    <row r="19" ht="15.75" customHeight="1">
      <c r="A19" s="4" t="s">
        <v>24</v>
      </c>
      <c r="B19" s="11">
        <f t="shared" ref="B19:F19" si="4">B17-B18</f>
        <v>0</v>
      </c>
      <c r="C19" s="11">
        <f t="shared" si="4"/>
        <v>0</v>
      </c>
      <c r="D19" s="11">
        <f t="shared" si="4"/>
        <v>0</v>
      </c>
      <c r="E19" s="11">
        <f t="shared" si="4"/>
        <v>0</v>
      </c>
      <c r="F19" s="12">
        <f t="shared" si="4"/>
        <v>0</v>
      </c>
    </row>
    <row r="20" ht="15.75" customHeight="1">
      <c r="A20" s="4" t="s">
        <v>25</v>
      </c>
      <c r="B20" s="9"/>
      <c r="C20" s="9"/>
      <c r="D20" s="9"/>
      <c r="E20" s="9"/>
      <c r="F20" s="10"/>
    </row>
    <row r="21" ht="15.75" customHeight="1">
      <c r="A21" s="4" t="s">
        <v>26</v>
      </c>
      <c r="B21" s="11">
        <f t="shared" ref="B21:F21" si="5">B19-B20</f>
        <v>0</v>
      </c>
      <c r="C21" s="11">
        <f t="shared" si="5"/>
        <v>0</v>
      </c>
      <c r="D21" s="11">
        <f t="shared" si="5"/>
        <v>0</v>
      </c>
      <c r="E21" s="11">
        <f t="shared" si="5"/>
        <v>0</v>
      </c>
      <c r="F21" s="12">
        <f t="shared" si="5"/>
        <v>0</v>
      </c>
    </row>
    <row r="22" ht="15.75" customHeight="1">
      <c r="A22" s="4"/>
      <c r="B22" s="9"/>
      <c r="C22" s="9"/>
      <c r="D22" s="9"/>
      <c r="E22" s="9"/>
      <c r="F22" s="10"/>
    </row>
    <row r="23" ht="15.75" customHeight="1">
      <c r="A23" s="4" t="s">
        <v>27</v>
      </c>
      <c r="B23" s="11">
        <f t="shared" ref="B23:F23" si="6">B19+B14</f>
        <v>0</v>
      </c>
      <c r="C23" s="11">
        <f t="shared" si="6"/>
        <v>0</v>
      </c>
      <c r="D23" s="11">
        <f t="shared" si="6"/>
        <v>0</v>
      </c>
      <c r="E23" s="11">
        <f t="shared" si="6"/>
        <v>0</v>
      </c>
      <c r="F23" s="12">
        <f t="shared" si="6"/>
        <v>0</v>
      </c>
    </row>
    <row r="24" ht="15.75" customHeight="1">
      <c r="A24" s="4" t="s">
        <v>28</v>
      </c>
      <c r="B24" s="9"/>
      <c r="C24" s="9"/>
      <c r="D24" s="9"/>
      <c r="E24" s="9"/>
      <c r="F24" s="10"/>
    </row>
    <row r="25" ht="15.75" customHeight="1">
      <c r="A25" s="4" t="s">
        <v>29</v>
      </c>
      <c r="B25" s="9"/>
      <c r="C25" s="9"/>
      <c r="D25" s="9"/>
      <c r="E25" s="9"/>
      <c r="F25" s="10"/>
    </row>
    <row r="26" ht="15.75" customHeight="1">
      <c r="A26" s="4" t="s">
        <v>30</v>
      </c>
      <c r="B26" s="15"/>
      <c r="C26" s="15"/>
      <c r="D26" s="15"/>
      <c r="E26" s="15"/>
      <c r="F26" s="16"/>
    </row>
    <row r="27" ht="15.75" customHeight="1">
      <c r="A27" s="4" t="s">
        <v>31</v>
      </c>
      <c r="B27" s="9"/>
      <c r="C27" s="9"/>
      <c r="D27" s="9"/>
      <c r="E27" s="9"/>
      <c r="F27" s="10"/>
    </row>
    <row r="28" ht="15.75" customHeight="1">
      <c r="A28" s="4" t="s">
        <v>32</v>
      </c>
      <c r="B28" s="9"/>
      <c r="C28" s="9"/>
      <c r="D28" s="9"/>
      <c r="E28" s="9"/>
      <c r="F28" s="10"/>
    </row>
    <row r="29" ht="15.75" customHeight="1">
      <c r="A29" s="4" t="s">
        <v>33</v>
      </c>
      <c r="B29" s="9"/>
      <c r="C29" s="9"/>
      <c r="D29" s="9"/>
      <c r="E29" s="9"/>
      <c r="F29" s="10"/>
    </row>
    <row r="30" ht="15.75" customHeight="1">
      <c r="A30" s="4" t="s">
        <v>34</v>
      </c>
      <c r="B30" s="9"/>
      <c r="C30" s="9"/>
      <c r="D30" s="9"/>
      <c r="E30" s="9"/>
      <c r="F30" s="10"/>
    </row>
    <row r="31" ht="15.75" customHeight="1">
      <c r="A31" s="4" t="s">
        <v>35</v>
      </c>
      <c r="B31" s="9"/>
      <c r="C31" s="9"/>
      <c r="D31" s="9"/>
      <c r="E31" s="9"/>
      <c r="F31" s="10"/>
    </row>
    <row r="32" ht="15.75" customHeight="1">
      <c r="A32" s="4" t="s">
        <v>36</v>
      </c>
      <c r="B32" s="9"/>
      <c r="C32" s="9"/>
      <c r="D32" s="9"/>
      <c r="E32" s="9"/>
      <c r="F32" s="10"/>
    </row>
    <row r="33" ht="15.75" customHeight="1">
      <c r="A33" s="4" t="s">
        <v>37</v>
      </c>
      <c r="B33" s="9"/>
      <c r="C33" s="9"/>
      <c r="D33" s="9"/>
      <c r="E33" s="9"/>
      <c r="F33" s="10"/>
    </row>
    <row r="34" ht="15.75" customHeight="1">
      <c r="A34" s="4" t="s">
        <v>38</v>
      </c>
      <c r="B34" s="9"/>
      <c r="C34" s="9"/>
      <c r="D34" s="9"/>
      <c r="E34" s="9"/>
      <c r="F34" s="10"/>
    </row>
    <row r="35" ht="15.75" customHeight="1">
      <c r="A35" s="4" t="s">
        <v>39</v>
      </c>
      <c r="B35" s="9"/>
      <c r="C35" s="9"/>
      <c r="D35" s="9"/>
      <c r="E35" s="9"/>
      <c r="F35" s="10"/>
    </row>
    <row r="36" ht="15.75" customHeight="1">
      <c r="A36" s="4" t="s">
        <v>40</v>
      </c>
      <c r="B36" s="9"/>
      <c r="C36" s="9"/>
      <c r="D36" s="9"/>
      <c r="E36" s="9"/>
      <c r="F36" s="10"/>
    </row>
    <row r="37" ht="15.75" customHeight="1">
      <c r="A37" s="4" t="s">
        <v>41</v>
      </c>
      <c r="B37" s="11">
        <f t="shared" ref="B37:F37" si="7">SUM(B26:B36)</f>
        <v>0</v>
      </c>
      <c r="C37" s="11">
        <f t="shared" si="7"/>
        <v>0</v>
      </c>
      <c r="D37" s="11">
        <f t="shared" si="7"/>
        <v>0</v>
      </c>
      <c r="E37" s="11">
        <f t="shared" si="7"/>
        <v>0</v>
      </c>
      <c r="F37" s="12">
        <f t="shared" si="7"/>
        <v>0</v>
      </c>
    </row>
    <row r="38" ht="15.75" customHeight="1">
      <c r="A38" s="4" t="s">
        <v>42</v>
      </c>
      <c r="B38" s="9"/>
      <c r="C38" s="9"/>
      <c r="D38" s="9"/>
      <c r="E38" s="9"/>
      <c r="F38" s="10"/>
    </row>
    <row r="39" ht="15.75" customHeight="1">
      <c r="A39" s="4" t="s">
        <v>43</v>
      </c>
      <c r="B39" s="9"/>
      <c r="C39" s="9"/>
      <c r="D39" s="9"/>
      <c r="E39" s="9"/>
      <c r="F39" s="10"/>
    </row>
    <row r="40" ht="15.75" customHeight="1">
      <c r="A40" s="4" t="s">
        <v>44</v>
      </c>
      <c r="B40" s="9"/>
      <c r="C40" s="9"/>
      <c r="D40" s="9"/>
      <c r="E40" s="9"/>
      <c r="F40" s="10"/>
    </row>
    <row r="41" ht="15.75" customHeight="1">
      <c r="A41" s="4" t="s">
        <v>45</v>
      </c>
      <c r="B41" s="9"/>
      <c r="C41" s="9"/>
      <c r="D41" s="9"/>
      <c r="E41" s="9"/>
      <c r="F41" s="10"/>
    </row>
    <row r="42" ht="15.75" customHeight="1">
      <c r="A42" s="4" t="s">
        <v>46</v>
      </c>
      <c r="B42" s="9"/>
      <c r="C42" s="9"/>
      <c r="D42" s="9"/>
      <c r="E42" s="9"/>
      <c r="F42" s="10"/>
    </row>
    <row r="43" ht="15.75" customHeight="1">
      <c r="A43" s="4" t="s">
        <v>47</v>
      </c>
      <c r="B43" s="9"/>
      <c r="C43" s="9"/>
      <c r="D43" s="9"/>
      <c r="E43" s="9"/>
      <c r="F43" s="10"/>
    </row>
    <row r="44" ht="15.75" customHeight="1">
      <c r="A44" s="4" t="s">
        <v>48</v>
      </c>
      <c r="B44" s="9"/>
      <c r="C44" s="9"/>
      <c r="D44" s="9"/>
      <c r="E44" s="9"/>
      <c r="F44" s="10"/>
    </row>
    <row r="45" ht="15.75" customHeight="1">
      <c r="A45" s="4" t="s">
        <v>49</v>
      </c>
      <c r="B45" s="9"/>
      <c r="C45" s="9"/>
      <c r="D45" s="9"/>
      <c r="E45" s="9"/>
      <c r="F45" s="10"/>
    </row>
    <row r="46" ht="15.75" customHeight="1">
      <c r="A46" s="4" t="s">
        <v>50</v>
      </c>
      <c r="B46" s="9"/>
      <c r="C46" s="9"/>
      <c r="D46" s="9"/>
      <c r="E46" s="9"/>
      <c r="F46" s="10"/>
    </row>
    <row r="47" ht="15.75" customHeight="1">
      <c r="A47" s="4" t="s">
        <v>51</v>
      </c>
      <c r="B47" s="9"/>
      <c r="C47" s="9"/>
      <c r="D47" s="9"/>
      <c r="E47" s="9"/>
      <c r="F47" s="10"/>
    </row>
    <row r="48" ht="15.75" customHeight="1">
      <c r="A48" s="4" t="s">
        <v>52</v>
      </c>
      <c r="B48" s="9"/>
      <c r="C48" s="9"/>
      <c r="D48" s="9"/>
      <c r="E48" s="9"/>
      <c r="F48" s="10"/>
    </row>
    <row r="49" ht="15.75" customHeight="1">
      <c r="A49" s="4" t="s">
        <v>53</v>
      </c>
      <c r="B49" s="11">
        <f t="shared" ref="B49:F49" si="8">SUM(B39:B48)</f>
        <v>0</v>
      </c>
      <c r="C49" s="11">
        <f t="shared" si="8"/>
        <v>0</v>
      </c>
      <c r="D49" s="11">
        <f t="shared" si="8"/>
        <v>0</v>
      </c>
      <c r="E49" s="11">
        <f t="shared" si="8"/>
        <v>0</v>
      </c>
      <c r="F49" s="12">
        <f t="shared" si="8"/>
        <v>0</v>
      </c>
    </row>
    <row r="50" ht="15.75" customHeight="1">
      <c r="A50" s="4" t="s">
        <v>54</v>
      </c>
      <c r="B50" s="13"/>
      <c r="C50" s="13"/>
      <c r="D50" s="13"/>
      <c r="E50" s="13"/>
      <c r="F50" s="14"/>
    </row>
    <row r="51" ht="15.75" customHeight="1">
      <c r="A51" s="4" t="s">
        <v>55</v>
      </c>
      <c r="B51" s="19" t="str">
        <f t="shared" ref="B51:F51" si="9">(B17+B13)/(B26+B27+B28+B29+B31)</f>
        <v>#DIV/0!</v>
      </c>
      <c r="C51" s="19" t="str">
        <f t="shared" si="9"/>
        <v>#DIV/0!</v>
      </c>
      <c r="D51" s="19" t="str">
        <f t="shared" si="9"/>
        <v>#DIV/0!</v>
      </c>
      <c r="E51" s="19" t="str">
        <f t="shared" si="9"/>
        <v>#DIV/0!</v>
      </c>
      <c r="F51" s="20" t="str">
        <f t="shared" si="9"/>
        <v>#DIV/0!</v>
      </c>
    </row>
    <row r="52" ht="15.75" customHeight="1">
      <c r="A52" s="4" t="s">
        <v>56</v>
      </c>
      <c r="B52" s="19" t="str">
        <f t="shared" ref="B52:F52" si="10">B21/(B26+B27+B28)</f>
        <v>#DIV/0!</v>
      </c>
      <c r="C52" s="19" t="str">
        <f t="shared" si="10"/>
        <v>#DIV/0!</v>
      </c>
      <c r="D52" s="19" t="str">
        <f t="shared" si="10"/>
        <v>#DIV/0!</v>
      </c>
      <c r="E52" s="19" t="str">
        <f t="shared" si="10"/>
        <v>#DIV/0!</v>
      </c>
      <c r="F52" s="20" t="str">
        <f t="shared" si="10"/>
        <v>#DIV/0!</v>
      </c>
    </row>
    <row r="53" ht="15.75" customHeight="1">
      <c r="A53" s="4" t="s">
        <v>57</v>
      </c>
      <c r="B53" s="19" t="str">
        <f t="shared" ref="B53:F53" si="11">B19/B6*100</f>
        <v>#DIV/0!</v>
      </c>
      <c r="C53" s="19" t="str">
        <f t="shared" si="11"/>
        <v>#DIV/0!</v>
      </c>
      <c r="D53" s="19" t="str">
        <f t="shared" si="11"/>
        <v>#DIV/0!</v>
      </c>
      <c r="E53" s="19" t="str">
        <f t="shared" si="11"/>
        <v>#DIV/0!</v>
      </c>
      <c r="F53" s="20" t="str">
        <f t="shared" si="11"/>
        <v>#DIV/0!</v>
      </c>
    </row>
    <row r="54" ht="15.75" customHeight="1">
      <c r="A54" s="4" t="s">
        <v>58</v>
      </c>
      <c r="B54" s="19" t="str">
        <f t="shared" ref="B54:F54" si="12">B19/B49*100</f>
        <v>#DIV/0!</v>
      </c>
      <c r="C54" s="19" t="str">
        <f t="shared" si="12"/>
        <v>#DIV/0!</v>
      </c>
      <c r="D54" s="19" t="str">
        <f t="shared" si="12"/>
        <v>#DIV/0!</v>
      </c>
      <c r="E54" s="19" t="str">
        <f t="shared" si="12"/>
        <v>#DIV/0!</v>
      </c>
      <c r="F54" s="20" t="str">
        <f t="shared" si="12"/>
        <v>#DIV/0!</v>
      </c>
    </row>
    <row r="55" ht="15.75" customHeight="1">
      <c r="A55" s="4" t="s">
        <v>59</v>
      </c>
      <c r="B55" s="13"/>
      <c r="C55" s="13"/>
      <c r="D55" s="13"/>
      <c r="E55" s="13"/>
      <c r="F55" s="14"/>
    </row>
    <row r="56" ht="15.75" customHeight="1">
      <c r="A56" s="4" t="s">
        <v>60</v>
      </c>
      <c r="B56" s="19" t="str">
        <f t="shared" ref="B56:F56" si="13">B21/(B26/B55)</f>
        <v>#DIV/0!</v>
      </c>
      <c r="C56" s="19" t="str">
        <f t="shared" si="13"/>
        <v>#DIV/0!</v>
      </c>
      <c r="D56" s="19" t="str">
        <f t="shared" si="13"/>
        <v>#DIV/0!</v>
      </c>
      <c r="E56" s="19" t="str">
        <f t="shared" si="13"/>
        <v>#DIV/0!</v>
      </c>
      <c r="F56" s="20" t="str">
        <f t="shared" si="13"/>
        <v>#DIV/0!</v>
      </c>
    </row>
    <row r="57" ht="15.75" customHeight="1">
      <c r="A57" s="4" t="s">
        <v>61</v>
      </c>
      <c r="B57" s="21" t="str">
        <f t="shared" ref="B57:D57" si="14">IFERROR((B6-C6)/C6,"-")</f>
        <v>-</v>
      </c>
      <c r="C57" s="21" t="str">
        <f t="shared" si="14"/>
        <v>-</v>
      </c>
      <c r="D57" s="21" t="str">
        <f t="shared" si="14"/>
        <v>-</v>
      </c>
      <c r="E57" s="21" t="str">
        <f t="shared" ref="E57:F57" si="15">IFERROR((E6-#REF!)/#REF!,"-")</f>
        <v>-</v>
      </c>
      <c r="F57" s="22" t="str">
        <f t="shared" si="15"/>
        <v>-</v>
      </c>
    </row>
    <row r="58" ht="15.75" customHeight="1">
      <c r="A58" s="4" t="s">
        <v>62</v>
      </c>
      <c r="B58" s="21" t="str">
        <f t="shared" ref="B58:D58" si="16">IFERROR((B23-C23)/C23,"-")</f>
        <v>-</v>
      </c>
      <c r="C58" s="21" t="str">
        <f t="shared" si="16"/>
        <v>-</v>
      </c>
      <c r="D58" s="21" t="str">
        <f t="shared" si="16"/>
        <v>-</v>
      </c>
      <c r="E58" s="21" t="str">
        <f t="shared" ref="E58:F58" si="17">IFERROR((E23-#REF!)/#REF!,"-")</f>
        <v>-</v>
      </c>
      <c r="F58" s="22" t="str">
        <f t="shared" si="17"/>
        <v>-</v>
      </c>
    </row>
    <row r="59" ht="15.75" customHeight="1">
      <c r="A59" s="4" t="s">
        <v>63</v>
      </c>
      <c r="B59" s="19" t="str">
        <f t="shared" ref="B59:F59" si="18">(B17+B13)/B13</f>
        <v>#DIV/0!</v>
      </c>
      <c r="C59" s="19" t="str">
        <f t="shared" si="18"/>
        <v>#DIV/0!</v>
      </c>
      <c r="D59" s="19" t="str">
        <f t="shared" si="18"/>
        <v>#DIV/0!</v>
      </c>
      <c r="E59" s="19" t="str">
        <f t="shared" si="18"/>
        <v>#DIV/0!</v>
      </c>
      <c r="F59" s="20" t="str">
        <f t="shared" si="18"/>
        <v>#DIV/0!</v>
      </c>
    </row>
    <row r="60" ht="15.75" customHeight="1">
      <c r="A60" s="4" t="s">
        <v>64</v>
      </c>
      <c r="B60" s="19" t="str">
        <f t="shared" ref="B60:F60" si="19">(B29+B31+B30)/B37</f>
        <v>#DIV/0!</v>
      </c>
      <c r="C60" s="19" t="str">
        <f t="shared" si="19"/>
        <v>#DIV/0!</v>
      </c>
      <c r="D60" s="19" t="str">
        <f t="shared" si="19"/>
        <v>#DIV/0!</v>
      </c>
      <c r="E60" s="19" t="str">
        <f t="shared" si="19"/>
        <v>#DIV/0!</v>
      </c>
      <c r="F60" s="20" t="str">
        <f t="shared" si="19"/>
        <v>#DIV/0!</v>
      </c>
    </row>
    <row r="61" ht="15.75" customHeight="1">
      <c r="A61" s="4" t="s">
        <v>65</v>
      </c>
      <c r="B61" s="19" t="str">
        <f t="shared" ref="B61:F61" si="20">(B29+B31+B30)/(B26+B27+B28)</f>
        <v>#DIV/0!</v>
      </c>
      <c r="C61" s="19" t="str">
        <f t="shared" si="20"/>
        <v>#DIV/0!</v>
      </c>
      <c r="D61" s="19" t="str">
        <f t="shared" si="20"/>
        <v>#DIV/0!</v>
      </c>
      <c r="E61" s="19" t="str">
        <f t="shared" si="20"/>
        <v>#DIV/0!</v>
      </c>
      <c r="F61" s="20" t="str">
        <f t="shared" si="20"/>
        <v>#DIV/0!</v>
      </c>
    </row>
    <row r="62" ht="15.75" customHeight="1">
      <c r="A62" s="4" t="s">
        <v>66</v>
      </c>
      <c r="B62" s="19" t="str">
        <f t="shared" ref="B62:F62" si="21">(B45+B46+B47+B48)/(B35+B36+B30)</f>
        <v>#DIV/0!</v>
      </c>
      <c r="C62" s="19" t="str">
        <f t="shared" si="21"/>
        <v>#DIV/0!</v>
      </c>
      <c r="D62" s="19" t="str">
        <f t="shared" si="21"/>
        <v>#DIV/0!</v>
      </c>
      <c r="E62" s="19" t="str">
        <f t="shared" si="21"/>
        <v>#DIV/0!</v>
      </c>
      <c r="F62" s="20" t="str">
        <f t="shared" si="21"/>
        <v>#DIV/0!</v>
      </c>
    </row>
    <row r="63" ht="15.75" customHeight="1">
      <c r="A63" s="4" t="s">
        <v>67</v>
      </c>
      <c r="B63" s="19" t="str">
        <f t="shared" ref="B63:F63" si="22">(B45+B47+B48)/SUM(B35:B36)</f>
        <v>#DIV/0!</v>
      </c>
      <c r="C63" s="19" t="str">
        <f t="shared" si="22"/>
        <v>#DIV/0!</v>
      </c>
      <c r="D63" s="19" t="str">
        <f t="shared" si="22"/>
        <v>#DIV/0!</v>
      </c>
      <c r="E63" s="19" t="str">
        <f t="shared" si="22"/>
        <v>#DIV/0!</v>
      </c>
      <c r="F63" s="20" t="str">
        <f t="shared" si="22"/>
        <v>#DIV/0!</v>
      </c>
    </row>
    <row r="64" ht="15.75" customHeight="1">
      <c r="A64" s="4" t="s">
        <v>68</v>
      </c>
      <c r="B64" s="19" t="str">
        <f t="shared" ref="B64:F64" si="23">B47/SUM(B35:B36)</f>
        <v>#DIV/0!</v>
      </c>
      <c r="C64" s="19" t="str">
        <f t="shared" si="23"/>
        <v>#DIV/0!</v>
      </c>
      <c r="D64" s="19" t="str">
        <f t="shared" si="23"/>
        <v>#DIV/0!</v>
      </c>
      <c r="E64" s="19" t="str">
        <f t="shared" si="23"/>
        <v>#DIV/0!</v>
      </c>
      <c r="F64" s="20" t="str">
        <f t="shared" si="23"/>
        <v>#DIV/0!</v>
      </c>
    </row>
    <row r="65" ht="15.75" customHeight="1">
      <c r="A65" s="4" t="s">
        <v>69</v>
      </c>
      <c r="B65" s="19" t="str">
        <f t="shared" ref="B65:F65" si="24">(B29+B30+B31+B32+B35+B36+B33)/(B26+B27+B28)</f>
        <v>#DIV/0!</v>
      </c>
      <c r="C65" s="19" t="str">
        <f t="shared" si="24"/>
        <v>#DIV/0!</v>
      </c>
      <c r="D65" s="19" t="str">
        <f t="shared" si="24"/>
        <v>#DIV/0!</v>
      </c>
      <c r="E65" s="19" t="str">
        <f t="shared" si="24"/>
        <v>#DIV/0!</v>
      </c>
      <c r="F65" s="20" t="str">
        <f t="shared" si="24"/>
        <v>#DIV/0!</v>
      </c>
    </row>
    <row r="66" ht="15.75" customHeight="1">
      <c r="A66" s="4" t="s">
        <v>70</v>
      </c>
      <c r="B66" s="19" t="str">
        <f t="shared" ref="B66:F66" si="25">(B19+B13+B14)/(B13+B29/5)</f>
        <v>#DIV/0!</v>
      </c>
      <c r="C66" s="19" t="str">
        <f t="shared" si="25"/>
        <v>#DIV/0!</v>
      </c>
      <c r="D66" s="19" t="str">
        <f t="shared" si="25"/>
        <v>#DIV/0!</v>
      </c>
      <c r="E66" s="19" t="str">
        <f t="shared" si="25"/>
        <v>#DIV/0!</v>
      </c>
      <c r="F66" s="20" t="str">
        <f t="shared" si="25"/>
        <v>#DIV/0!</v>
      </c>
    </row>
    <row r="67" ht="15.75" customHeight="1">
      <c r="A67" s="4" t="s">
        <v>71</v>
      </c>
      <c r="B67" s="19" t="str">
        <f t="shared" ref="B67:F67" si="26">B45/B4*100</f>
        <v>#DIV/0!</v>
      </c>
      <c r="C67" s="19" t="str">
        <f t="shared" si="26"/>
        <v>#DIV/0!</v>
      </c>
      <c r="D67" s="19" t="str">
        <f t="shared" si="26"/>
        <v>#DIV/0!</v>
      </c>
      <c r="E67" s="19" t="str">
        <f t="shared" si="26"/>
        <v>#DIV/0!</v>
      </c>
      <c r="F67" s="20" t="str">
        <f t="shared" si="26"/>
        <v>#DIV/0!</v>
      </c>
    </row>
    <row r="68" ht="15.75" customHeight="1">
      <c r="A68" s="4" t="s">
        <v>72</v>
      </c>
      <c r="B68" s="23" t="str">
        <f t="shared" ref="B68:F68" si="27">IFERROR(B4/B45,"-")</f>
        <v>-</v>
      </c>
      <c r="C68" s="23" t="str">
        <f t="shared" si="27"/>
        <v>-</v>
      </c>
      <c r="D68" s="23" t="str">
        <f t="shared" si="27"/>
        <v>-</v>
      </c>
      <c r="E68" s="23" t="str">
        <f t="shared" si="27"/>
        <v>-</v>
      </c>
      <c r="F68" s="24" t="str">
        <f t="shared" si="27"/>
        <v>-</v>
      </c>
    </row>
    <row r="69" ht="15.75" customHeight="1">
      <c r="A69" s="4" t="s">
        <v>73</v>
      </c>
      <c r="B69" s="23" t="str">
        <f t="shared" ref="B69:F69" si="28">IFERROR(365/B68,"-")</f>
        <v>-</v>
      </c>
      <c r="C69" s="23" t="str">
        <f t="shared" si="28"/>
        <v>-</v>
      </c>
      <c r="D69" s="23" t="str">
        <f t="shared" si="28"/>
        <v>-</v>
      </c>
      <c r="E69" s="23" t="str">
        <f t="shared" si="28"/>
        <v>-</v>
      </c>
      <c r="F69" s="24" t="str">
        <f t="shared" si="28"/>
        <v>-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